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_Headcount_Report" sheetId="1" state="visible" r:id="rId3"/>
    <sheet name="Raw_Departments" sheetId="2" state="visible" r:id="rId4"/>
    <sheet name="Raw_Recruitment" sheetId="3" state="visible" r:id="rId5"/>
    <sheet name="Recruitment_Funnel_Report" sheetId="4" state="visible" r:id="rId6"/>
    <sheet name="Headcount_Forecas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<sst xmlns="http://schemas.openxmlformats.org/spreadsheetml/2006/main" count="156" uniqueCount="57">
  <si>
    <t xml:space="preserve">Daily Headcount Report</t>
  </si>
  <si>
    <t xml:space="preserve">Department</t>
  </si>
  <si>
    <t xml:space="preserve">Target Headcount 2026</t>
  </si>
  <si>
    <t xml:space="preserve">Current Headcount</t>
  </si>
  <si>
    <t xml:space="preserve">Gap to Target</t>
  </si>
  <si>
    <t xml:space="preserve">% to Target</t>
  </si>
  <si>
    <t xml:space="preserve">Attrition % (All-Time)</t>
  </si>
  <si>
    <t xml:space="preserve">Status</t>
  </si>
  <si>
    <t xml:space="preserve">TOTAL</t>
  </si>
  <si>
    <t xml:space="preserve">RAW DATA — Department Headcount Extract (source: HRIS export, as of 2026-07-01)</t>
  </si>
  <si>
    <t xml:space="preserve">This tab simulates a raw system export. Reporting tabs reference these cells via formulas.</t>
  </si>
  <si>
    <t xml:space="preserve">Dept Id</t>
  </si>
  <si>
    <t xml:space="preserve">Dept Name</t>
  </si>
  <si>
    <t xml:space="preserve">Total Ever Hired</t>
  </si>
  <si>
    <t xml:space="preserve">Exits</t>
  </si>
  <si>
    <t xml:space="preserve">Avg Engagement</t>
  </si>
  <si>
    <t xml:space="preserve">Avg Salary</t>
  </si>
  <si>
    <t xml:space="preserve">Engineering</t>
  </si>
  <si>
    <t xml:space="preserve">Sales</t>
  </si>
  <si>
    <t xml:space="preserve">Human Capital</t>
  </si>
  <si>
    <t xml:space="preserve">Finance</t>
  </si>
  <si>
    <t xml:space="preserve">Operations</t>
  </si>
  <si>
    <t xml:space="preserve">Marketing</t>
  </si>
  <si>
    <t xml:space="preserve">Data &amp; Analytics</t>
  </si>
  <si>
    <t xml:space="preserve">RAW DATA — Recruitment Funnel Extract (source: ATS export, by quarter &amp; department)</t>
  </si>
  <si>
    <t xml:space="preserve">Quarter</t>
  </si>
  <si>
    <t xml:space="preserve">Applied</t>
  </si>
  <si>
    <t xml:space="preserve">Screened</t>
  </si>
  <si>
    <t xml:space="preserve">Interviewed</t>
  </si>
  <si>
    <t xml:space="preserve">Offered</t>
  </si>
  <si>
    <t xml:space="preserve">Hired</t>
  </si>
  <si>
    <t xml:space="preserve">2025-Q1</t>
  </si>
  <si>
    <t xml:space="preserve">2025-Q2</t>
  </si>
  <si>
    <t xml:space="preserve">2025-Q3</t>
  </si>
  <si>
    <t xml:space="preserve">2025-Q4</t>
  </si>
  <si>
    <t xml:space="preserve">2026-Q1</t>
  </si>
  <si>
    <t xml:space="preserve">2026-Q2</t>
  </si>
  <si>
    <t xml:space="preserve">Recruitment Funnel Report — Latest Quarter</t>
  </si>
  <si>
    <t xml:space="preserve">Quarter filter cell above (A2) — change it to any quarter in Raw_Recruitment to refresh this report.</t>
  </si>
  <si>
    <t xml:space="preserve">Applied to Screen %</t>
  </si>
  <si>
    <t xml:space="preserve">Screen to Interview %</t>
  </si>
  <si>
    <t xml:space="preserve">Interview to Offer %</t>
  </si>
  <si>
    <t xml:space="preserve">Offer to Hire %</t>
  </si>
  <si>
    <t xml:space="preserve">Overall Conversion %</t>
  </si>
  <si>
    <t xml:space="preserve">Headcount Forecast — What-If Model</t>
  </si>
  <si>
    <t xml:space="preserve">Yellow cells are adjustable assumptions. All results recalculate automatically.</t>
  </si>
  <si>
    <t xml:space="preserve">Assumptions</t>
  </si>
  <si>
    <t xml:space="preserve">Planning horizon (months)</t>
  </si>
  <si>
    <t xml:space="preserve">Expected monthly attrition rate (company-wide)</t>
  </si>
  <si>
    <t xml:space="preserve">Average hire-to-offer lead time (weeks)</t>
  </si>
  <si>
    <t xml:space="preserve">Average offer-to-hire conversion rate</t>
  </si>
  <si>
    <t xml:space="preserve">Department Forecast</t>
  </si>
  <si>
    <t xml:space="preserve">Target Headcount</t>
  </si>
  <si>
    <t xml:space="preserve">Net New Hires Needed</t>
  </si>
  <si>
    <t xml:space="preserve">Expected Attrition (Horizon)</t>
  </si>
  <si>
    <t xml:space="preserve">Total Hires Required</t>
  </si>
  <si>
    <t xml:space="preserve">Applications Needed (at current conversion %)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</si>
</sst>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0000FF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tr">
        <f aca="true">"Generated: " &amp; TEXT(TODAY(), "dd-mmm-yyyy") &amp; "  |  Refreshes automatically when Raw_Departments updates"</f>
        <v>Generated: 29-Jul-2026  |  Refreshes automatically when Raw_Departments updates</v>
      </c>
    </row>
    <row r="4" customFormat="false" ht="26.85" hidden="false" customHeight="false" outlineLevel="0" collapsed="false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customFormat="false" ht="15" hidden="false" customHeight="false" outlineLevel="0" collapsed="false">
      <c r="A5" s="4" t="str">
        <f aca="false">Raw_Departments!B5</f>
        <v>Engineering</v>
      </c>
      <c r="B5" s="4" t="n">
        <f aca="false">Raw_Departments!C5</f>
        <v>820</v>
      </c>
      <c r="C5" s="4" t="n">
        <f aca="false">Raw_Departments!D5</f>
        <v>744</v>
      </c>
      <c r="D5" s="5" t="n">
        <f aca="false">B5-C5</f>
        <v>76</v>
      </c>
      <c r="E5" s="6" t="n">
        <f aca="false">C5/B5</f>
        <v>0.907317073170732</v>
      </c>
      <c r="F5" s="6" t="n">
        <f aca="false">Raw_Departments!F5/Raw_Departments!E5</f>
        <v>0.0926829268292683</v>
      </c>
      <c r="G5" s="4" t="str">
        <f aca="false">IF(D5&gt;50,"Hiring Gap - High Priority",IF(D5&gt;0,"On Track","At/Above Target"))</f>
        <v>Hiring Gap - High Priority</v>
      </c>
    </row>
    <row r="6" customFormat="false" ht="15" hidden="false" customHeight="false" outlineLevel="0" collapsed="false">
      <c r="A6" s="4" t="str">
        <f aca="false">Raw_Departments!B6</f>
        <v>Sales</v>
      </c>
      <c r="B6" s="4" t="n">
        <f aca="false">Raw_Departments!C6</f>
        <v>400</v>
      </c>
      <c r="C6" s="4" t="n">
        <f aca="false">Raw_Departments!D6</f>
        <v>329</v>
      </c>
      <c r="D6" s="5" t="n">
        <f aca="false">B6-C6</f>
        <v>71</v>
      </c>
      <c r="E6" s="6" t="n">
        <f aca="false">C6/B6</f>
        <v>0.8225</v>
      </c>
      <c r="F6" s="6" t="n">
        <f aca="false">Raw_Departments!F6/Raw_Departments!E6</f>
        <v>0.0961538461538462</v>
      </c>
      <c r="G6" s="4" t="str">
        <f aca="false">IF(D6&gt;50,"Hiring Gap - High Priority",IF(D6&gt;0,"On Track","At/Above Target"))</f>
        <v>Hiring Gap - High Priority</v>
      </c>
    </row>
    <row r="7" customFormat="false" ht="15" hidden="false" customHeight="false" outlineLevel="0" collapsed="false">
      <c r="A7" s="4" t="str">
        <f aca="false">Raw_Departments!B7</f>
        <v>Human Capital</v>
      </c>
      <c r="B7" s="4" t="n">
        <f aca="false">Raw_Departments!C7</f>
        <v>115</v>
      </c>
      <c r="C7" s="4" t="n">
        <f aca="false">Raw_Departments!D7</f>
        <v>108</v>
      </c>
      <c r="D7" s="5" t="n">
        <f aca="false">B7-C7</f>
        <v>7</v>
      </c>
      <c r="E7" s="6" t="n">
        <f aca="false">C7/B7</f>
        <v>0.939130434782609</v>
      </c>
      <c r="F7" s="6" t="n">
        <f aca="false">Raw_Departments!F7/Raw_Departments!E7</f>
        <v>0.136</v>
      </c>
      <c r="G7" s="4" t="str">
        <f aca="false">IF(D7&gt;50,"Hiring Gap - High Priority",IF(D7&gt;0,"On Track","At/Above Target"))</f>
        <v>On Track</v>
      </c>
    </row>
    <row r="8" customFormat="false" ht="15" hidden="false" customHeight="false" outlineLevel="0" collapsed="false">
      <c r="A8" s="4" t="str">
        <f aca="false">Raw_Departments!B8</f>
        <v>Finance</v>
      </c>
      <c r="B8" s="4" t="n">
        <f aca="false">Raw_Departments!C8</f>
        <v>220</v>
      </c>
      <c r="C8" s="4" t="n">
        <f aca="false">Raw_Departments!D8</f>
        <v>206</v>
      </c>
      <c r="D8" s="5" t="n">
        <f aca="false">B8-C8</f>
        <v>14</v>
      </c>
      <c r="E8" s="6" t="n">
        <f aca="false">C8/B8</f>
        <v>0.936363636363636</v>
      </c>
      <c r="F8" s="6" t="n">
        <f aca="false">Raw_Departments!F8/Raw_Departments!E8</f>
        <v>0.092511013215859</v>
      </c>
      <c r="G8" s="4" t="str">
        <f aca="false">IF(D8&gt;50,"Hiring Gap - High Priority",IF(D8&gt;0,"On Track","At/Above Target"))</f>
        <v>On Track</v>
      </c>
    </row>
    <row r="9" customFormat="false" ht="15" hidden="false" customHeight="false" outlineLevel="0" collapsed="false">
      <c r="A9" s="4" t="str">
        <f aca="false">Raw_Departments!B9</f>
        <v>Operations</v>
      </c>
      <c r="B9" s="4" t="n">
        <f aca="false">Raw_Departments!C9</f>
        <v>400</v>
      </c>
      <c r="C9" s="4" t="n">
        <f aca="false">Raw_Departments!D9</f>
        <v>342</v>
      </c>
      <c r="D9" s="5" t="n">
        <f aca="false">B9-C9</f>
        <v>58</v>
      </c>
      <c r="E9" s="6" t="n">
        <f aca="false">C9/B9</f>
        <v>0.855</v>
      </c>
      <c r="F9" s="6" t="n">
        <f aca="false">Raw_Departments!F9/Raw_Departments!E9</f>
        <v>0.102362204724409</v>
      </c>
      <c r="G9" s="4" t="str">
        <f aca="false">IF(D9&gt;50,"Hiring Gap - High Priority",IF(D9&gt;0,"On Track","At/Above Target"))</f>
        <v>Hiring Gap - High Priority</v>
      </c>
    </row>
    <row r="10" customFormat="false" ht="15" hidden="false" customHeight="false" outlineLevel="0" collapsed="false">
      <c r="A10" s="4" t="str">
        <f aca="false">Raw_Departments!B10</f>
        <v>Marketing</v>
      </c>
      <c r="B10" s="4" t="n">
        <f aca="false">Raw_Departments!C10</f>
        <v>195</v>
      </c>
      <c r="C10" s="4" t="n">
        <f aca="false">Raw_Departments!D10</f>
        <v>186</v>
      </c>
      <c r="D10" s="5" t="n">
        <f aca="false">B10-C10</f>
        <v>9</v>
      </c>
      <c r="E10" s="6" t="n">
        <f aca="false">C10/B10</f>
        <v>0.953846153846154</v>
      </c>
      <c r="F10" s="6" t="n">
        <f aca="false">Raw_Departments!F10/Raw_Departments!E10</f>
        <v>0.0882352941176471</v>
      </c>
      <c r="G10" s="4" t="str">
        <f aca="false">IF(D10&gt;50,"Hiring Gap - High Priority",IF(D10&gt;0,"On Track","At/Above Target"))</f>
        <v>On Track</v>
      </c>
    </row>
    <row r="11" customFormat="false" ht="15" hidden="false" customHeight="false" outlineLevel="0" collapsed="false">
      <c r="A11" s="4" t="str">
        <f aca="false">Raw_Departments!B11</f>
        <v>Data &amp; Analytics</v>
      </c>
      <c r="B11" s="4" t="n">
        <f aca="false">Raw_Departments!C11</f>
        <v>300</v>
      </c>
      <c r="C11" s="4" t="n">
        <f aca="false">Raw_Departments!D11</f>
        <v>260</v>
      </c>
      <c r="D11" s="5" t="n">
        <f aca="false">B11-C11</f>
        <v>40</v>
      </c>
      <c r="E11" s="6" t="n">
        <f aca="false">C11/B11</f>
        <v>0.866666666666667</v>
      </c>
      <c r="F11" s="6" t="n">
        <f aca="false">Raw_Departments!F11/Raw_Departments!E11</f>
        <v>0.0681003584229391</v>
      </c>
      <c r="G11" s="4" t="str">
        <f aca="false">IF(D11&gt;50,"Hiring Gap - High Priority",IF(D11&gt;0,"On Track","At/Above Target"))</f>
        <v>On Track</v>
      </c>
    </row>
    <row r="12" customFormat="false" ht="15" hidden="false" customHeight="false" outlineLevel="0" collapsed="false">
      <c r="A12" s="7" t="s">
        <v>8</v>
      </c>
      <c r="B12" s="7" t="n">
        <f aca="false">SUM(B5:B11)</f>
        <v>2450</v>
      </c>
      <c r="C12" s="7" t="n">
        <f aca="false">SUM(C5:C11)</f>
        <v>2175</v>
      </c>
      <c r="D12" s="7" t="n">
        <f aca="false">SUM(D5:D11)</f>
        <v>275</v>
      </c>
      <c r="E12" s="8" t="n">
        <f aca="false">C12/B12</f>
        <v>0.887755102040816</v>
      </c>
      <c r="F12" s="8" t="n">
        <f aca="false">AVERAGE(F5:F11)</f>
        <v>0.0965779490662813</v>
      </c>
    </row>
  </sheetData>
  <conditionalFormatting sqref="D5:D11">
    <cfRule type="colorScale" priority="2">
      <colorScale>
        <cfvo type="min" val="0"/>
        <cfvo type="max" val="0"/>
        <color rgb="FF63BE7B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0"/>
  </cols>
  <sheetData>
    <row r="1" customFormat="false" ht="17.35" hidden="false" customHeight="false" outlineLevel="0" collapsed="false">
      <c r="A1" s="1" t="s">
        <v>9</v>
      </c>
    </row>
    <row r="2" customFormat="false" ht="15" hidden="false" customHeight="false" outlineLevel="0" collapsed="false">
      <c r="A2" s="2" t="s">
        <v>10</v>
      </c>
    </row>
    <row r="4" customFormat="false" ht="15" hidden="false" customHeight="false" outlineLevel="0" collapsed="false">
      <c r="A4" s="9" t="s">
        <v>11</v>
      </c>
      <c r="B4" s="9" t="s">
        <v>12</v>
      </c>
      <c r="C4" s="9" t="s">
        <v>2</v>
      </c>
      <c r="D4" s="9" t="s">
        <v>3</v>
      </c>
      <c r="E4" s="9" t="s">
        <v>13</v>
      </c>
      <c r="F4" s="9" t="s">
        <v>14</v>
      </c>
      <c r="G4" s="9" t="s">
        <v>15</v>
      </c>
      <c r="H4" s="9" t="s">
        <v>16</v>
      </c>
    </row>
    <row r="5" customFormat="false" ht="15" hidden="false" customHeight="false" outlineLevel="0" collapsed="false">
      <c r="A5" s="4" t="n">
        <v>1</v>
      </c>
      <c r="B5" s="4" t="s">
        <v>17</v>
      </c>
      <c r="C5" s="4" t="n">
        <v>820</v>
      </c>
      <c r="D5" s="4" t="n">
        <v>744</v>
      </c>
      <c r="E5" s="4" t="n">
        <v>820</v>
      </c>
      <c r="F5" s="4" t="n">
        <v>76</v>
      </c>
      <c r="G5" s="4" t="n">
        <v>3.6</v>
      </c>
      <c r="H5" s="4" t="n">
        <v>1695782</v>
      </c>
    </row>
    <row r="6" customFormat="false" ht="15" hidden="false" customHeight="false" outlineLevel="0" collapsed="false">
      <c r="A6" s="4" t="n">
        <v>2</v>
      </c>
      <c r="B6" s="4" t="s">
        <v>18</v>
      </c>
      <c r="C6" s="4" t="n">
        <v>400</v>
      </c>
      <c r="D6" s="4" t="n">
        <v>329</v>
      </c>
      <c r="E6" s="4" t="n">
        <v>364</v>
      </c>
      <c r="F6" s="4" t="n">
        <v>35</v>
      </c>
      <c r="G6" s="4" t="n">
        <v>3.57</v>
      </c>
      <c r="H6" s="4" t="n">
        <v>1734788</v>
      </c>
    </row>
    <row r="7" customFormat="false" ht="15" hidden="false" customHeight="false" outlineLevel="0" collapsed="false">
      <c r="A7" s="4" t="n">
        <v>3</v>
      </c>
      <c r="B7" s="4" t="s">
        <v>19</v>
      </c>
      <c r="C7" s="4" t="n">
        <v>115</v>
      </c>
      <c r="D7" s="4" t="n">
        <v>108</v>
      </c>
      <c r="E7" s="4" t="n">
        <v>125</v>
      </c>
      <c r="F7" s="4" t="n">
        <v>17</v>
      </c>
      <c r="G7" s="4" t="n">
        <v>3.71</v>
      </c>
      <c r="H7" s="4" t="n">
        <v>1638992</v>
      </c>
    </row>
    <row r="8" customFormat="false" ht="15" hidden="false" customHeight="false" outlineLevel="0" collapsed="false">
      <c r="A8" s="4" t="n">
        <v>4</v>
      </c>
      <c r="B8" s="4" t="s">
        <v>20</v>
      </c>
      <c r="C8" s="4" t="n">
        <v>220</v>
      </c>
      <c r="D8" s="4" t="n">
        <v>206</v>
      </c>
      <c r="E8" s="4" t="n">
        <v>227</v>
      </c>
      <c r="F8" s="4" t="n">
        <v>21</v>
      </c>
      <c r="G8" s="4" t="n">
        <v>3.5</v>
      </c>
      <c r="H8" s="4" t="n">
        <v>1652604</v>
      </c>
    </row>
    <row r="9" customFormat="false" ht="15" hidden="false" customHeight="false" outlineLevel="0" collapsed="false">
      <c r="A9" s="4" t="n">
        <v>5</v>
      </c>
      <c r="B9" s="4" t="s">
        <v>21</v>
      </c>
      <c r="C9" s="4" t="n">
        <v>400</v>
      </c>
      <c r="D9" s="4" t="n">
        <v>342</v>
      </c>
      <c r="E9" s="4" t="n">
        <v>381</v>
      </c>
      <c r="F9" s="4" t="n">
        <v>39</v>
      </c>
      <c r="G9" s="4" t="n">
        <v>3.53</v>
      </c>
      <c r="H9" s="4" t="n">
        <v>1612835</v>
      </c>
    </row>
    <row r="10" customFormat="false" ht="15" hidden="false" customHeight="false" outlineLevel="0" collapsed="false">
      <c r="A10" s="4" t="n">
        <v>6</v>
      </c>
      <c r="B10" s="4" t="s">
        <v>22</v>
      </c>
      <c r="C10" s="4" t="n">
        <v>195</v>
      </c>
      <c r="D10" s="4" t="n">
        <v>186</v>
      </c>
      <c r="E10" s="4" t="n">
        <v>204</v>
      </c>
      <c r="F10" s="4" t="n">
        <v>18</v>
      </c>
      <c r="G10" s="4" t="n">
        <v>3.64</v>
      </c>
      <c r="H10" s="4" t="n">
        <v>1656373</v>
      </c>
    </row>
    <row r="11" customFormat="false" ht="15" hidden="false" customHeight="false" outlineLevel="0" collapsed="false">
      <c r="A11" s="4" t="n">
        <v>7</v>
      </c>
      <c r="B11" s="4" t="s">
        <v>23</v>
      </c>
      <c r="C11" s="4" t="n">
        <v>300</v>
      </c>
      <c r="D11" s="4" t="n">
        <v>260</v>
      </c>
      <c r="E11" s="4" t="n">
        <v>279</v>
      </c>
      <c r="F11" s="4" t="n">
        <v>19</v>
      </c>
      <c r="G11" s="4" t="n">
        <v>3.53</v>
      </c>
      <c r="H11" s="4" t="n">
        <v>1574728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7.35" hidden="false" customHeight="false" outlineLevel="0" collapsed="false">
      <c r="A1" s="1" t="s">
        <v>24</v>
      </c>
    </row>
    <row r="3" customFormat="false" ht="15" hidden="false" customHeight="false" outlineLevel="0" collapsed="false">
      <c r="A3" s="9" t="s">
        <v>25</v>
      </c>
      <c r="B3" s="9" t="s">
        <v>11</v>
      </c>
      <c r="C3" s="9" t="s">
        <v>12</v>
      </c>
      <c r="D3" s="9" t="s">
        <v>26</v>
      </c>
      <c r="E3" s="9" t="s">
        <v>27</v>
      </c>
      <c r="F3" s="9" t="s">
        <v>28</v>
      </c>
      <c r="G3" s="9" t="s">
        <v>29</v>
      </c>
      <c r="H3" s="9" t="s">
        <v>30</v>
      </c>
    </row>
    <row r="4" customFormat="false" ht="15" hidden="false" customHeight="false" outlineLevel="0" collapsed="false">
      <c r="A4" s="4" t="s">
        <v>31</v>
      </c>
      <c r="B4" s="4" t="n">
        <v>1</v>
      </c>
      <c r="C4" s="4" t="s">
        <v>17</v>
      </c>
      <c r="D4" s="4" t="n">
        <v>351</v>
      </c>
      <c r="E4" s="4" t="n">
        <v>175</v>
      </c>
      <c r="F4" s="4" t="n">
        <v>87</v>
      </c>
      <c r="G4" s="4" t="n">
        <v>37</v>
      </c>
      <c r="H4" s="4" t="n">
        <v>25</v>
      </c>
    </row>
    <row r="5" customFormat="false" ht="15" hidden="false" customHeight="false" outlineLevel="0" collapsed="false">
      <c r="A5" s="4" t="s">
        <v>31</v>
      </c>
      <c r="B5" s="4" t="n">
        <v>2</v>
      </c>
      <c r="C5" s="4" t="s">
        <v>18</v>
      </c>
      <c r="D5" s="4" t="n">
        <v>212</v>
      </c>
      <c r="E5" s="4" t="n">
        <v>84</v>
      </c>
      <c r="F5" s="4" t="n">
        <v>34</v>
      </c>
      <c r="G5" s="4" t="n">
        <v>14</v>
      </c>
      <c r="H5" s="4" t="n">
        <v>11</v>
      </c>
    </row>
    <row r="6" customFormat="false" ht="15" hidden="false" customHeight="false" outlineLevel="0" collapsed="false">
      <c r="A6" s="4" t="s">
        <v>31</v>
      </c>
      <c r="B6" s="4" t="n">
        <v>3</v>
      </c>
      <c r="C6" s="4" t="s">
        <v>19</v>
      </c>
      <c r="D6" s="4" t="n">
        <v>219</v>
      </c>
      <c r="E6" s="4" t="n">
        <v>97</v>
      </c>
      <c r="F6" s="4" t="n">
        <v>47</v>
      </c>
      <c r="G6" s="4" t="n">
        <v>18</v>
      </c>
      <c r="H6" s="4" t="n">
        <v>13</v>
      </c>
    </row>
    <row r="7" customFormat="false" ht="15" hidden="false" customHeight="false" outlineLevel="0" collapsed="false">
      <c r="A7" s="4" t="s">
        <v>31</v>
      </c>
      <c r="B7" s="4" t="n">
        <v>4</v>
      </c>
      <c r="C7" s="4" t="s">
        <v>20</v>
      </c>
      <c r="D7" s="4" t="n">
        <v>458</v>
      </c>
      <c r="E7" s="4" t="n">
        <v>237</v>
      </c>
      <c r="F7" s="4" t="n">
        <v>113</v>
      </c>
      <c r="G7" s="4" t="n">
        <v>45</v>
      </c>
      <c r="H7" s="4" t="n">
        <v>29</v>
      </c>
    </row>
    <row r="8" customFormat="false" ht="15" hidden="false" customHeight="false" outlineLevel="0" collapsed="false">
      <c r="A8" s="4" t="s">
        <v>31</v>
      </c>
      <c r="B8" s="4" t="n">
        <v>5</v>
      </c>
      <c r="C8" s="4" t="s">
        <v>21</v>
      </c>
      <c r="D8" s="4" t="n">
        <v>134</v>
      </c>
      <c r="E8" s="4" t="n">
        <v>70</v>
      </c>
      <c r="F8" s="4" t="n">
        <v>31</v>
      </c>
      <c r="G8" s="4" t="n">
        <v>13</v>
      </c>
      <c r="H8" s="4" t="n">
        <v>8</v>
      </c>
    </row>
    <row r="9" customFormat="false" ht="15" hidden="false" customHeight="false" outlineLevel="0" collapsed="false">
      <c r="A9" s="4" t="s">
        <v>31</v>
      </c>
      <c r="B9" s="4" t="n">
        <v>6</v>
      </c>
      <c r="C9" s="4" t="s">
        <v>22</v>
      </c>
      <c r="D9" s="4" t="n">
        <v>343</v>
      </c>
      <c r="E9" s="4" t="n">
        <v>140</v>
      </c>
      <c r="F9" s="4" t="n">
        <v>62</v>
      </c>
      <c r="G9" s="4" t="n">
        <v>26</v>
      </c>
      <c r="H9" s="4" t="n">
        <v>17</v>
      </c>
    </row>
    <row r="10" customFormat="false" ht="15" hidden="false" customHeight="false" outlineLevel="0" collapsed="false">
      <c r="A10" s="4" t="s">
        <v>31</v>
      </c>
      <c r="B10" s="4" t="n">
        <v>7</v>
      </c>
      <c r="C10" s="4" t="s">
        <v>23</v>
      </c>
      <c r="D10" s="4" t="n">
        <v>157</v>
      </c>
      <c r="E10" s="4" t="n">
        <v>83</v>
      </c>
      <c r="F10" s="4" t="n">
        <v>47</v>
      </c>
      <c r="G10" s="4" t="n">
        <v>22</v>
      </c>
      <c r="H10" s="4" t="n">
        <v>14</v>
      </c>
    </row>
    <row r="11" customFormat="false" ht="15" hidden="false" customHeight="false" outlineLevel="0" collapsed="false">
      <c r="A11" s="4" t="s">
        <v>32</v>
      </c>
      <c r="B11" s="4" t="n">
        <v>1</v>
      </c>
      <c r="C11" s="4" t="s">
        <v>17</v>
      </c>
      <c r="D11" s="4" t="n">
        <v>308</v>
      </c>
      <c r="E11" s="4" t="n">
        <v>141</v>
      </c>
      <c r="F11" s="4" t="n">
        <v>70</v>
      </c>
      <c r="G11" s="4" t="n">
        <v>25</v>
      </c>
      <c r="H11" s="4" t="n">
        <v>20</v>
      </c>
    </row>
    <row r="12" customFormat="false" ht="15" hidden="false" customHeight="false" outlineLevel="0" collapsed="false">
      <c r="A12" s="4" t="s">
        <v>32</v>
      </c>
      <c r="B12" s="4" t="n">
        <v>2</v>
      </c>
      <c r="C12" s="4" t="s">
        <v>18</v>
      </c>
      <c r="D12" s="4" t="n">
        <v>267</v>
      </c>
      <c r="E12" s="4" t="n">
        <v>146</v>
      </c>
      <c r="F12" s="4" t="n">
        <v>79</v>
      </c>
      <c r="G12" s="4" t="n">
        <v>34</v>
      </c>
      <c r="H12" s="4" t="n">
        <v>27</v>
      </c>
    </row>
    <row r="13" customFormat="false" ht="15" hidden="false" customHeight="false" outlineLevel="0" collapsed="false">
      <c r="A13" s="4" t="s">
        <v>32</v>
      </c>
      <c r="B13" s="4" t="n">
        <v>3</v>
      </c>
      <c r="C13" s="4" t="s">
        <v>19</v>
      </c>
      <c r="D13" s="4" t="n">
        <v>154</v>
      </c>
      <c r="E13" s="4" t="n">
        <v>78</v>
      </c>
      <c r="F13" s="4" t="n">
        <v>32</v>
      </c>
      <c r="G13" s="4" t="n">
        <v>12</v>
      </c>
      <c r="H13" s="4" t="n">
        <v>9</v>
      </c>
    </row>
    <row r="14" customFormat="false" ht="15" hidden="false" customHeight="false" outlineLevel="0" collapsed="false">
      <c r="A14" s="4" t="s">
        <v>32</v>
      </c>
      <c r="B14" s="4" t="n">
        <v>4</v>
      </c>
      <c r="C14" s="4" t="s">
        <v>20</v>
      </c>
      <c r="D14" s="4" t="n">
        <v>388</v>
      </c>
      <c r="E14" s="4" t="n">
        <v>194</v>
      </c>
      <c r="F14" s="4" t="n">
        <v>109</v>
      </c>
      <c r="G14" s="4" t="n">
        <v>44</v>
      </c>
      <c r="H14" s="4" t="n">
        <v>38</v>
      </c>
    </row>
    <row r="15" customFormat="false" ht="15" hidden="false" customHeight="false" outlineLevel="0" collapsed="false">
      <c r="A15" s="4" t="s">
        <v>32</v>
      </c>
      <c r="B15" s="4" t="n">
        <v>5</v>
      </c>
      <c r="C15" s="4" t="s">
        <v>21</v>
      </c>
      <c r="D15" s="4" t="n">
        <v>102</v>
      </c>
      <c r="E15" s="4" t="n">
        <v>55</v>
      </c>
      <c r="F15" s="4" t="n">
        <v>32</v>
      </c>
      <c r="G15" s="4" t="n">
        <v>13</v>
      </c>
      <c r="H15" s="4" t="n">
        <v>10</v>
      </c>
    </row>
    <row r="16" customFormat="false" ht="15" hidden="false" customHeight="false" outlineLevel="0" collapsed="false">
      <c r="A16" s="4" t="s">
        <v>32</v>
      </c>
      <c r="B16" s="4" t="n">
        <v>6</v>
      </c>
      <c r="C16" s="4" t="s">
        <v>22</v>
      </c>
      <c r="D16" s="4" t="n">
        <v>125</v>
      </c>
      <c r="E16" s="4" t="n">
        <v>54</v>
      </c>
      <c r="F16" s="4" t="n">
        <v>23</v>
      </c>
      <c r="G16" s="4" t="n">
        <v>8</v>
      </c>
      <c r="H16" s="4" t="n">
        <v>6</v>
      </c>
    </row>
    <row r="17" customFormat="false" ht="15" hidden="false" customHeight="false" outlineLevel="0" collapsed="false">
      <c r="A17" s="4" t="s">
        <v>32</v>
      </c>
      <c r="B17" s="4" t="n">
        <v>7</v>
      </c>
      <c r="C17" s="4" t="s">
        <v>23</v>
      </c>
      <c r="D17" s="4" t="n">
        <v>290</v>
      </c>
      <c r="E17" s="4" t="n">
        <v>121</v>
      </c>
      <c r="F17" s="4" t="n">
        <v>50</v>
      </c>
      <c r="G17" s="4" t="n">
        <v>22</v>
      </c>
      <c r="H17" s="4" t="n">
        <v>17</v>
      </c>
    </row>
    <row r="18" customFormat="false" ht="15" hidden="false" customHeight="false" outlineLevel="0" collapsed="false">
      <c r="A18" s="4" t="s">
        <v>33</v>
      </c>
      <c r="B18" s="4" t="n">
        <v>1</v>
      </c>
      <c r="C18" s="4" t="s">
        <v>17</v>
      </c>
      <c r="D18" s="4" t="n">
        <v>388</v>
      </c>
      <c r="E18" s="4" t="n">
        <v>166</v>
      </c>
      <c r="F18" s="4" t="n">
        <v>94</v>
      </c>
      <c r="G18" s="4" t="n">
        <v>40</v>
      </c>
      <c r="H18" s="4" t="n">
        <v>27</v>
      </c>
    </row>
    <row r="19" customFormat="false" ht="15" hidden="false" customHeight="false" outlineLevel="0" collapsed="false">
      <c r="A19" s="4" t="s">
        <v>33</v>
      </c>
      <c r="B19" s="4" t="n">
        <v>2</v>
      </c>
      <c r="C19" s="4" t="s">
        <v>18</v>
      </c>
      <c r="D19" s="4" t="n">
        <v>300</v>
      </c>
      <c r="E19" s="4" t="n">
        <v>144</v>
      </c>
      <c r="F19" s="4" t="n">
        <v>83</v>
      </c>
      <c r="G19" s="4" t="n">
        <v>28</v>
      </c>
      <c r="H19" s="4" t="n">
        <v>21</v>
      </c>
    </row>
    <row r="20" customFormat="false" ht="15" hidden="false" customHeight="false" outlineLevel="0" collapsed="false">
      <c r="A20" s="4" t="s">
        <v>33</v>
      </c>
      <c r="B20" s="4" t="n">
        <v>3</v>
      </c>
      <c r="C20" s="4" t="s">
        <v>19</v>
      </c>
      <c r="D20" s="4" t="n">
        <v>160</v>
      </c>
      <c r="E20" s="4" t="n">
        <v>60</v>
      </c>
      <c r="F20" s="4" t="n">
        <v>32</v>
      </c>
      <c r="G20" s="4" t="n">
        <v>10</v>
      </c>
      <c r="H20" s="4" t="n">
        <v>7</v>
      </c>
    </row>
    <row r="21" customFormat="false" ht="15" hidden="false" customHeight="false" outlineLevel="0" collapsed="false">
      <c r="A21" s="4" t="s">
        <v>33</v>
      </c>
      <c r="B21" s="4" t="n">
        <v>4</v>
      </c>
      <c r="C21" s="4" t="s">
        <v>20</v>
      </c>
      <c r="D21" s="4" t="n">
        <v>225</v>
      </c>
      <c r="E21" s="4" t="n">
        <v>79</v>
      </c>
      <c r="F21" s="4" t="n">
        <v>33</v>
      </c>
      <c r="G21" s="4" t="n">
        <v>16</v>
      </c>
      <c r="H21" s="4" t="n">
        <v>11</v>
      </c>
    </row>
    <row r="22" customFormat="false" ht="15" hidden="false" customHeight="false" outlineLevel="0" collapsed="false">
      <c r="A22" s="4" t="s">
        <v>33</v>
      </c>
      <c r="B22" s="4" t="n">
        <v>5</v>
      </c>
      <c r="C22" s="4" t="s">
        <v>21</v>
      </c>
      <c r="D22" s="4" t="n">
        <v>422</v>
      </c>
      <c r="E22" s="4" t="n">
        <v>148</v>
      </c>
      <c r="F22" s="4" t="n">
        <v>74</v>
      </c>
      <c r="G22" s="4" t="n">
        <v>29</v>
      </c>
      <c r="H22" s="4" t="n">
        <v>23</v>
      </c>
    </row>
    <row r="23" customFormat="false" ht="15" hidden="false" customHeight="false" outlineLevel="0" collapsed="false">
      <c r="A23" s="4" t="s">
        <v>33</v>
      </c>
      <c r="B23" s="4" t="n">
        <v>6</v>
      </c>
      <c r="C23" s="4" t="s">
        <v>22</v>
      </c>
      <c r="D23" s="4" t="n">
        <v>486</v>
      </c>
      <c r="E23" s="4" t="n">
        <v>226</v>
      </c>
      <c r="F23" s="4" t="n">
        <v>104</v>
      </c>
      <c r="G23" s="4" t="n">
        <v>39</v>
      </c>
      <c r="H23" s="4" t="n">
        <v>29</v>
      </c>
    </row>
    <row r="24" customFormat="false" ht="15" hidden="false" customHeight="false" outlineLevel="0" collapsed="false">
      <c r="A24" s="4" t="s">
        <v>33</v>
      </c>
      <c r="B24" s="4" t="n">
        <v>7</v>
      </c>
      <c r="C24" s="4" t="s">
        <v>23</v>
      </c>
      <c r="D24" s="4" t="n">
        <v>351</v>
      </c>
      <c r="E24" s="4" t="n">
        <v>135</v>
      </c>
      <c r="F24" s="4" t="n">
        <v>65</v>
      </c>
      <c r="G24" s="4" t="n">
        <v>25</v>
      </c>
      <c r="H24" s="4" t="n">
        <v>19</v>
      </c>
    </row>
    <row r="25" customFormat="false" ht="15" hidden="false" customHeight="false" outlineLevel="0" collapsed="false">
      <c r="A25" s="4" t="s">
        <v>34</v>
      </c>
      <c r="B25" s="4" t="n">
        <v>1</v>
      </c>
      <c r="C25" s="4" t="s">
        <v>17</v>
      </c>
      <c r="D25" s="4" t="n">
        <v>115</v>
      </c>
      <c r="E25" s="4" t="n">
        <v>61</v>
      </c>
      <c r="F25" s="4" t="n">
        <v>24</v>
      </c>
      <c r="G25" s="4" t="n">
        <v>7</v>
      </c>
      <c r="H25" s="4" t="n">
        <v>5</v>
      </c>
    </row>
    <row r="26" customFormat="false" ht="15" hidden="false" customHeight="false" outlineLevel="0" collapsed="false">
      <c r="A26" s="4" t="s">
        <v>34</v>
      </c>
      <c r="B26" s="4" t="n">
        <v>2</v>
      </c>
      <c r="C26" s="4" t="s">
        <v>18</v>
      </c>
      <c r="D26" s="4" t="n">
        <v>315</v>
      </c>
      <c r="E26" s="4" t="n">
        <v>150</v>
      </c>
      <c r="F26" s="4" t="n">
        <v>84</v>
      </c>
      <c r="G26" s="4" t="n">
        <v>29</v>
      </c>
      <c r="H26" s="4" t="n">
        <v>22</v>
      </c>
    </row>
    <row r="27" customFormat="false" ht="15" hidden="false" customHeight="false" outlineLevel="0" collapsed="false">
      <c r="A27" s="4" t="s">
        <v>34</v>
      </c>
      <c r="B27" s="4" t="n">
        <v>3</v>
      </c>
      <c r="C27" s="4" t="s">
        <v>19</v>
      </c>
      <c r="D27" s="4" t="n">
        <v>479</v>
      </c>
      <c r="E27" s="4" t="n">
        <v>183</v>
      </c>
      <c r="F27" s="4" t="n">
        <v>105</v>
      </c>
      <c r="G27" s="4" t="n">
        <v>45</v>
      </c>
      <c r="H27" s="4" t="n">
        <v>33</v>
      </c>
    </row>
    <row r="28" customFormat="false" ht="15" hidden="false" customHeight="false" outlineLevel="0" collapsed="false">
      <c r="A28" s="4" t="s">
        <v>34</v>
      </c>
      <c r="B28" s="4" t="n">
        <v>4</v>
      </c>
      <c r="C28" s="4" t="s">
        <v>20</v>
      </c>
      <c r="D28" s="4" t="n">
        <v>344</v>
      </c>
      <c r="E28" s="4" t="n">
        <v>168</v>
      </c>
      <c r="F28" s="4" t="n">
        <v>79</v>
      </c>
      <c r="G28" s="4" t="n">
        <v>26</v>
      </c>
      <c r="H28" s="4" t="n">
        <v>20</v>
      </c>
    </row>
    <row r="29" customFormat="false" ht="15" hidden="false" customHeight="false" outlineLevel="0" collapsed="false">
      <c r="A29" s="4" t="s">
        <v>34</v>
      </c>
      <c r="B29" s="4" t="n">
        <v>5</v>
      </c>
      <c r="C29" s="4" t="s">
        <v>21</v>
      </c>
      <c r="D29" s="4" t="n">
        <v>432</v>
      </c>
      <c r="E29" s="4" t="n">
        <v>180</v>
      </c>
      <c r="F29" s="4" t="n">
        <v>77</v>
      </c>
      <c r="G29" s="4" t="n">
        <v>32</v>
      </c>
      <c r="H29" s="4" t="n">
        <v>26</v>
      </c>
    </row>
    <row r="30" customFormat="false" ht="15" hidden="false" customHeight="false" outlineLevel="0" collapsed="false">
      <c r="A30" s="4" t="s">
        <v>34</v>
      </c>
      <c r="B30" s="4" t="n">
        <v>6</v>
      </c>
      <c r="C30" s="4" t="s">
        <v>22</v>
      </c>
      <c r="D30" s="4" t="n">
        <v>326</v>
      </c>
      <c r="E30" s="4" t="n">
        <v>147</v>
      </c>
      <c r="F30" s="4" t="n">
        <v>79</v>
      </c>
      <c r="G30" s="4" t="n">
        <v>28</v>
      </c>
      <c r="H30" s="4" t="n">
        <v>22</v>
      </c>
    </row>
    <row r="31" customFormat="false" ht="15" hidden="false" customHeight="false" outlineLevel="0" collapsed="false">
      <c r="A31" s="4" t="s">
        <v>34</v>
      </c>
      <c r="B31" s="4" t="n">
        <v>7</v>
      </c>
      <c r="C31" s="4" t="s">
        <v>23</v>
      </c>
      <c r="D31" s="4" t="n">
        <v>498</v>
      </c>
      <c r="E31" s="4" t="n">
        <v>223</v>
      </c>
      <c r="F31" s="4" t="n">
        <v>125</v>
      </c>
      <c r="G31" s="4" t="n">
        <v>58</v>
      </c>
      <c r="H31" s="4" t="n">
        <v>48</v>
      </c>
    </row>
    <row r="32" customFormat="false" ht="15" hidden="false" customHeight="false" outlineLevel="0" collapsed="false">
      <c r="A32" s="4" t="s">
        <v>35</v>
      </c>
      <c r="B32" s="4" t="n">
        <v>1</v>
      </c>
      <c r="C32" s="4" t="s">
        <v>17</v>
      </c>
      <c r="D32" s="4" t="n">
        <v>197</v>
      </c>
      <c r="E32" s="4" t="n">
        <v>97</v>
      </c>
      <c r="F32" s="4" t="n">
        <v>43</v>
      </c>
      <c r="G32" s="4" t="n">
        <v>14</v>
      </c>
      <c r="H32" s="4" t="n">
        <v>11</v>
      </c>
    </row>
    <row r="33" customFormat="false" ht="15" hidden="false" customHeight="false" outlineLevel="0" collapsed="false">
      <c r="A33" s="4" t="s">
        <v>35</v>
      </c>
      <c r="B33" s="4" t="n">
        <v>2</v>
      </c>
      <c r="C33" s="4" t="s">
        <v>18</v>
      </c>
      <c r="D33" s="4" t="n">
        <v>284</v>
      </c>
      <c r="E33" s="4" t="n">
        <v>102</v>
      </c>
      <c r="F33" s="4" t="n">
        <v>42</v>
      </c>
      <c r="G33" s="4" t="n">
        <v>19</v>
      </c>
      <c r="H33" s="4" t="n">
        <v>16</v>
      </c>
    </row>
    <row r="34" customFormat="false" ht="15" hidden="false" customHeight="false" outlineLevel="0" collapsed="false">
      <c r="A34" s="4" t="s">
        <v>35</v>
      </c>
      <c r="B34" s="4" t="n">
        <v>3</v>
      </c>
      <c r="C34" s="4" t="s">
        <v>19</v>
      </c>
      <c r="D34" s="4" t="n">
        <v>496</v>
      </c>
      <c r="E34" s="4" t="n">
        <v>216</v>
      </c>
      <c r="F34" s="4" t="n">
        <v>122</v>
      </c>
      <c r="G34" s="4" t="n">
        <v>54</v>
      </c>
      <c r="H34" s="4" t="n">
        <v>42</v>
      </c>
    </row>
    <row r="35" customFormat="false" ht="15" hidden="false" customHeight="false" outlineLevel="0" collapsed="false">
      <c r="A35" s="4" t="s">
        <v>35</v>
      </c>
      <c r="B35" s="4" t="n">
        <v>4</v>
      </c>
      <c r="C35" s="4" t="s">
        <v>20</v>
      </c>
      <c r="D35" s="4" t="n">
        <v>163</v>
      </c>
      <c r="E35" s="4" t="n">
        <v>70</v>
      </c>
      <c r="F35" s="4" t="n">
        <v>32</v>
      </c>
      <c r="G35" s="4" t="n">
        <v>10</v>
      </c>
      <c r="H35" s="4" t="n">
        <v>7</v>
      </c>
    </row>
    <row r="36" customFormat="false" ht="15" hidden="false" customHeight="false" outlineLevel="0" collapsed="false">
      <c r="A36" s="4" t="s">
        <v>35</v>
      </c>
      <c r="B36" s="4" t="n">
        <v>5</v>
      </c>
      <c r="C36" s="4" t="s">
        <v>21</v>
      </c>
      <c r="D36" s="4" t="n">
        <v>490</v>
      </c>
      <c r="E36" s="4" t="n">
        <v>222</v>
      </c>
      <c r="F36" s="4" t="n">
        <v>96</v>
      </c>
      <c r="G36" s="4" t="n">
        <v>44</v>
      </c>
      <c r="H36" s="4" t="n">
        <v>30</v>
      </c>
    </row>
    <row r="37" customFormat="false" ht="15" hidden="false" customHeight="false" outlineLevel="0" collapsed="false">
      <c r="A37" s="4" t="s">
        <v>35</v>
      </c>
      <c r="B37" s="4" t="n">
        <v>6</v>
      </c>
      <c r="C37" s="4" t="s">
        <v>22</v>
      </c>
      <c r="D37" s="4" t="n">
        <v>130</v>
      </c>
      <c r="E37" s="4" t="n">
        <v>57</v>
      </c>
      <c r="F37" s="4" t="n">
        <v>24</v>
      </c>
      <c r="G37" s="4" t="n">
        <v>9</v>
      </c>
      <c r="H37" s="4" t="n">
        <v>6</v>
      </c>
    </row>
    <row r="38" customFormat="false" ht="15" hidden="false" customHeight="false" outlineLevel="0" collapsed="false">
      <c r="A38" s="4" t="s">
        <v>35</v>
      </c>
      <c r="B38" s="4" t="n">
        <v>7</v>
      </c>
      <c r="C38" s="4" t="s">
        <v>23</v>
      </c>
      <c r="D38" s="4" t="n">
        <v>319</v>
      </c>
      <c r="E38" s="4" t="n">
        <v>165</v>
      </c>
      <c r="F38" s="4" t="n">
        <v>98</v>
      </c>
      <c r="G38" s="4" t="n">
        <v>41</v>
      </c>
      <c r="H38" s="4" t="n">
        <v>34</v>
      </c>
    </row>
    <row r="39" customFormat="false" ht="15" hidden="false" customHeight="false" outlineLevel="0" collapsed="false">
      <c r="A39" s="4" t="s">
        <v>36</v>
      </c>
      <c r="B39" s="4" t="n">
        <v>1</v>
      </c>
      <c r="C39" s="4" t="s">
        <v>17</v>
      </c>
      <c r="D39" s="4" t="n">
        <v>202</v>
      </c>
      <c r="E39" s="4" t="n">
        <v>106</v>
      </c>
      <c r="F39" s="4" t="n">
        <v>62</v>
      </c>
      <c r="G39" s="4" t="n">
        <v>25</v>
      </c>
      <c r="H39" s="4" t="n">
        <v>20</v>
      </c>
    </row>
    <row r="40" customFormat="false" ht="15" hidden="false" customHeight="false" outlineLevel="0" collapsed="false">
      <c r="A40" s="4" t="s">
        <v>36</v>
      </c>
      <c r="B40" s="4" t="n">
        <v>2</v>
      </c>
      <c r="C40" s="4" t="s">
        <v>18</v>
      </c>
      <c r="D40" s="4" t="n">
        <v>426</v>
      </c>
      <c r="E40" s="4" t="n">
        <v>186</v>
      </c>
      <c r="F40" s="4" t="n">
        <v>103</v>
      </c>
      <c r="G40" s="4" t="n">
        <v>41</v>
      </c>
      <c r="H40" s="4" t="n">
        <v>31</v>
      </c>
    </row>
    <row r="41" customFormat="false" ht="15" hidden="false" customHeight="false" outlineLevel="0" collapsed="false">
      <c r="A41" s="4" t="s">
        <v>36</v>
      </c>
      <c r="B41" s="4" t="n">
        <v>3</v>
      </c>
      <c r="C41" s="4" t="s">
        <v>19</v>
      </c>
      <c r="D41" s="4" t="n">
        <v>325</v>
      </c>
      <c r="E41" s="4" t="n">
        <v>156</v>
      </c>
      <c r="F41" s="4" t="n">
        <v>89</v>
      </c>
      <c r="G41" s="4" t="n">
        <v>39</v>
      </c>
      <c r="H41" s="4" t="n">
        <v>27</v>
      </c>
    </row>
    <row r="42" customFormat="false" ht="15" hidden="false" customHeight="false" outlineLevel="0" collapsed="false">
      <c r="A42" s="4" t="s">
        <v>36</v>
      </c>
      <c r="B42" s="4" t="n">
        <v>4</v>
      </c>
      <c r="C42" s="4" t="s">
        <v>20</v>
      </c>
      <c r="D42" s="4" t="n">
        <v>451</v>
      </c>
      <c r="E42" s="4" t="n">
        <v>203</v>
      </c>
      <c r="F42" s="4" t="n">
        <v>116</v>
      </c>
      <c r="G42" s="4" t="n">
        <v>35</v>
      </c>
      <c r="H42" s="4" t="n">
        <v>28</v>
      </c>
    </row>
    <row r="43" customFormat="false" ht="15" hidden="false" customHeight="false" outlineLevel="0" collapsed="false">
      <c r="A43" s="4" t="s">
        <v>36</v>
      </c>
      <c r="B43" s="4" t="n">
        <v>5</v>
      </c>
      <c r="C43" s="4" t="s">
        <v>21</v>
      </c>
      <c r="D43" s="4" t="n">
        <v>425</v>
      </c>
      <c r="E43" s="4" t="n">
        <v>205</v>
      </c>
      <c r="F43" s="4" t="n">
        <v>96</v>
      </c>
      <c r="G43" s="4" t="n">
        <v>34</v>
      </c>
      <c r="H43" s="4" t="n">
        <v>27</v>
      </c>
    </row>
    <row r="44" customFormat="false" ht="15" hidden="false" customHeight="false" outlineLevel="0" collapsed="false">
      <c r="A44" s="4" t="s">
        <v>36</v>
      </c>
      <c r="B44" s="4" t="n">
        <v>6</v>
      </c>
      <c r="C44" s="4" t="s">
        <v>22</v>
      </c>
      <c r="D44" s="4" t="n">
        <v>405</v>
      </c>
      <c r="E44" s="4" t="n">
        <v>220</v>
      </c>
      <c r="F44" s="4" t="n">
        <v>109</v>
      </c>
      <c r="G44" s="4" t="n">
        <v>50</v>
      </c>
      <c r="H44" s="4" t="n">
        <v>42</v>
      </c>
    </row>
    <row r="45" customFormat="false" ht="15" hidden="false" customHeight="false" outlineLevel="0" collapsed="false">
      <c r="A45" s="4" t="s">
        <v>36</v>
      </c>
      <c r="B45" s="4" t="n">
        <v>7</v>
      </c>
      <c r="C45" s="4" t="s">
        <v>23</v>
      </c>
      <c r="D45" s="4" t="n">
        <v>331</v>
      </c>
      <c r="E45" s="4" t="n">
        <v>148</v>
      </c>
      <c r="F45" s="4" t="n">
        <v>68</v>
      </c>
      <c r="G45" s="4" t="n">
        <v>26</v>
      </c>
      <c r="H45" s="4" t="n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4"/>
  </cols>
  <sheetData>
    <row r="1" customFormat="false" ht="17.35" hidden="false" customHeight="false" outlineLevel="0" collapsed="false">
      <c r="A1" s="1" t="s">
        <v>37</v>
      </c>
    </row>
    <row r="2" customFormat="false" ht="15" hidden="false" customHeight="false" outlineLevel="0" collapsed="false">
      <c r="A2" s="10" t="s">
        <v>36</v>
      </c>
    </row>
    <row r="3" customFormat="false" ht="15" hidden="false" customHeight="false" outlineLevel="0" collapsed="false">
      <c r="A3" s="2" t="s">
        <v>38</v>
      </c>
    </row>
    <row r="4" customFormat="false" ht="39.55" hidden="false" customHeight="false" outlineLevel="0" collapsed="false">
      <c r="A4" s="3" t="s">
        <v>1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39</v>
      </c>
      <c r="H4" s="3" t="s">
        <v>40</v>
      </c>
      <c r="I4" s="3" t="s">
        <v>41</v>
      </c>
      <c r="J4" s="3" t="s">
        <v>42</v>
      </c>
      <c r="K4" s="3" t="s">
        <v>43</v>
      </c>
    </row>
    <row r="5" customFormat="false" ht="15" hidden="false" customHeight="false" outlineLevel="0" collapsed="false">
      <c r="A5" s="4" t="s">
        <v>17</v>
      </c>
      <c r="B5" s="4" t="n">
        <f aca="false">SUMIFS(Raw_Recruitment!D:D,Raw_Recruitment!C:C,A5,Raw_Recruitment!A:A,$A$2)</f>
        <v>202</v>
      </c>
      <c r="C5" s="4" t="n">
        <f aca="false">SUMIFS(Raw_Recruitment!E:E,Raw_Recruitment!C:C,A5,Raw_Recruitment!A:A,$A$2)</f>
        <v>106</v>
      </c>
      <c r="D5" s="4" t="n">
        <f aca="false">SUMIFS(Raw_Recruitment!F:F,Raw_Recruitment!C:C,A5,Raw_Recruitment!A:A,$A$2)</f>
        <v>62</v>
      </c>
      <c r="E5" s="4" t="n">
        <f aca="false">SUMIFS(Raw_Recruitment!G:G,Raw_Recruitment!C:C,A5,Raw_Recruitment!A:A,$A$2)</f>
        <v>25</v>
      </c>
      <c r="F5" s="4" t="n">
        <f aca="false">SUMIFS(Raw_Recruitment!H:H,Raw_Recruitment!C:C,A5,Raw_Recruitment!A:A,$A$2)</f>
        <v>20</v>
      </c>
      <c r="G5" s="11" t="n">
        <f aca="false">IFERROR(C5/B5,0)</f>
        <v>0.524752475247525</v>
      </c>
      <c r="H5" s="11" t="n">
        <f aca="false">IFERROR(D5/C5,0)</f>
        <v>0.584905660377359</v>
      </c>
      <c r="I5" s="11" t="n">
        <f aca="false">IFERROR(E5/D5,0)</f>
        <v>0.403225806451613</v>
      </c>
      <c r="J5" s="11" t="n">
        <f aca="false">IFERROR(F5/E5,0)</f>
        <v>0.8</v>
      </c>
      <c r="K5" s="11" t="n">
        <f aca="false">IFERROR(F5/B5,0)</f>
        <v>0.099009900990099</v>
      </c>
    </row>
    <row r="6" customFormat="false" ht="15" hidden="false" customHeight="false" outlineLevel="0" collapsed="false">
      <c r="A6" s="4" t="s">
        <v>18</v>
      </c>
      <c r="B6" s="4" t="n">
        <f aca="false">SUMIFS(Raw_Recruitment!D:D,Raw_Recruitment!C:C,A6,Raw_Recruitment!A:A,$A$2)</f>
        <v>426</v>
      </c>
      <c r="C6" s="4" t="n">
        <f aca="false">SUMIFS(Raw_Recruitment!E:E,Raw_Recruitment!C:C,A6,Raw_Recruitment!A:A,$A$2)</f>
        <v>186</v>
      </c>
      <c r="D6" s="4" t="n">
        <f aca="false">SUMIFS(Raw_Recruitment!F:F,Raw_Recruitment!C:C,A6,Raw_Recruitment!A:A,$A$2)</f>
        <v>103</v>
      </c>
      <c r="E6" s="4" t="n">
        <f aca="false">SUMIFS(Raw_Recruitment!G:G,Raw_Recruitment!C:C,A6,Raw_Recruitment!A:A,$A$2)</f>
        <v>41</v>
      </c>
      <c r="F6" s="4" t="n">
        <f aca="false">SUMIFS(Raw_Recruitment!H:H,Raw_Recruitment!C:C,A6,Raw_Recruitment!A:A,$A$2)</f>
        <v>31</v>
      </c>
      <c r="G6" s="11" t="n">
        <f aca="false">IFERROR(C6/B6,0)</f>
        <v>0.436619718309859</v>
      </c>
      <c r="H6" s="11" t="n">
        <f aca="false">IFERROR(D6/C6,0)</f>
        <v>0.553763440860215</v>
      </c>
      <c r="I6" s="11" t="n">
        <f aca="false">IFERROR(E6/D6,0)</f>
        <v>0.398058252427184</v>
      </c>
      <c r="J6" s="11" t="n">
        <f aca="false">IFERROR(F6/E6,0)</f>
        <v>0.75609756097561</v>
      </c>
      <c r="K6" s="11" t="n">
        <f aca="false">IFERROR(F6/B6,0)</f>
        <v>0.0727699530516432</v>
      </c>
    </row>
    <row r="7" customFormat="false" ht="15" hidden="false" customHeight="false" outlineLevel="0" collapsed="false">
      <c r="A7" s="4" t="s">
        <v>19</v>
      </c>
      <c r="B7" s="4" t="n">
        <f aca="false">SUMIFS(Raw_Recruitment!D:D,Raw_Recruitment!C:C,A7,Raw_Recruitment!A:A,$A$2)</f>
        <v>325</v>
      </c>
      <c r="C7" s="4" t="n">
        <f aca="false">SUMIFS(Raw_Recruitment!E:E,Raw_Recruitment!C:C,A7,Raw_Recruitment!A:A,$A$2)</f>
        <v>156</v>
      </c>
      <c r="D7" s="4" t="n">
        <f aca="false">SUMIFS(Raw_Recruitment!F:F,Raw_Recruitment!C:C,A7,Raw_Recruitment!A:A,$A$2)</f>
        <v>89</v>
      </c>
      <c r="E7" s="4" t="n">
        <f aca="false">SUMIFS(Raw_Recruitment!G:G,Raw_Recruitment!C:C,A7,Raw_Recruitment!A:A,$A$2)</f>
        <v>39</v>
      </c>
      <c r="F7" s="4" t="n">
        <f aca="false">SUMIFS(Raw_Recruitment!H:H,Raw_Recruitment!C:C,A7,Raw_Recruitment!A:A,$A$2)</f>
        <v>27</v>
      </c>
      <c r="G7" s="11" t="n">
        <f aca="false">IFERROR(C7/B7,0)</f>
        <v>0.48</v>
      </c>
      <c r="H7" s="11" t="n">
        <f aca="false">IFERROR(D7/C7,0)</f>
        <v>0.570512820512821</v>
      </c>
      <c r="I7" s="11" t="n">
        <f aca="false">IFERROR(E7/D7,0)</f>
        <v>0.438202247191011</v>
      </c>
      <c r="J7" s="11" t="n">
        <f aca="false">IFERROR(F7/E7,0)</f>
        <v>0.692307692307692</v>
      </c>
      <c r="K7" s="11" t="n">
        <f aca="false">IFERROR(F7/B7,0)</f>
        <v>0.0830769230769231</v>
      </c>
    </row>
    <row r="8" customFormat="false" ht="15" hidden="false" customHeight="false" outlineLevel="0" collapsed="false">
      <c r="A8" s="4" t="s">
        <v>20</v>
      </c>
      <c r="B8" s="4" t="n">
        <f aca="false">SUMIFS(Raw_Recruitment!D:D,Raw_Recruitment!C:C,A8,Raw_Recruitment!A:A,$A$2)</f>
        <v>451</v>
      </c>
      <c r="C8" s="4" t="n">
        <f aca="false">SUMIFS(Raw_Recruitment!E:E,Raw_Recruitment!C:C,A8,Raw_Recruitment!A:A,$A$2)</f>
        <v>203</v>
      </c>
      <c r="D8" s="4" t="n">
        <f aca="false">SUMIFS(Raw_Recruitment!F:F,Raw_Recruitment!C:C,A8,Raw_Recruitment!A:A,$A$2)</f>
        <v>116</v>
      </c>
      <c r="E8" s="4" t="n">
        <f aca="false">SUMIFS(Raw_Recruitment!G:G,Raw_Recruitment!C:C,A8,Raw_Recruitment!A:A,$A$2)</f>
        <v>35</v>
      </c>
      <c r="F8" s="4" t="n">
        <f aca="false">SUMIFS(Raw_Recruitment!H:H,Raw_Recruitment!C:C,A8,Raw_Recruitment!A:A,$A$2)</f>
        <v>28</v>
      </c>
      <c r="G8" s="11" t="n">
        <f aca="false">IFERROR(C8/B8,0)</f>
        <v>0.450110864745011</v>
      </c>
      <c r="H8" s="11" t="n">
        <f aca="false">IFERROR(D8/C8,0)</f>
        <v>0.571428571428571</v>
      </c>
      <c r="I8" s="11" t="n">
        <f aca="false">IFERROR(E8/D8,0)</f>
        <v>0.301724137931035</v>
      </c>
      <c r="J8" s="11" t="n">
        <f aca="false">IFERROR(F8/E8,0)</f>
        <v>0.8</v>
      </c>
      <c r="K8" s="11" t="n">
        <f aca="false">IFERROR(F8/B8,0)</f>
        <v>0.0620842572062084</v>
      </c>
    </row>
    <row r="9" customFormat="false" ht="15" hidden="false" customHeight="false" outlineLevel="0" collapsed="false">
      <c r="A9" s="4" t="s">
        <v>21</v>
      </c>
      <c r="B9" s="4" t="n">
        <f aca="false">SUMIFS(Raw_Recruitment!D:D,Raw_Recruitment!C:C,A9,Raw_Recruitment!A:A,$A$2)</f>
        <v>425</v>
      </c>
      <c r="C9" s="4" t="n">
        <f aca="false">SUMIFS(Raw_Recruitment!E:E,Raw_Recruitment!C:C,A9,Raw_Recruitment!A:A,$A$2)</f>
        <v>205</v>
      </c>
      <c r="D9" s="4" t="n">
        <f aca="false">SUMIFS(Raw_Recruitment!F:F,Raw_Recruitment!C:C,A9,Raw_Recruitment!A:A,$A$2)</f>
        <v>96</v>
      </c>
      <c r="E9" s="4" t="n">
        <f aca="false">SUMIFS(Raw_Recruitment!G:G,Raw_Recruitment!C:C,A9,Raw_Recruitment!A:A,$A$2)</f>
        <v>34</v>
      </c>
      <c r="F9" s="4" t="n">
        <f aca="false">SUMIFS(Raw_Recruitment!H:H,Raw_Recruitment!C:C,A9,Raw_Recruitment!A:A,$A$2)</f>
        <v>27</v>
      </c>
      <c r="G9" s="11" t="n">
        <f aca="false">IFERROR(C9/B9,0)</f>
        <v>0.482352941176471</v>
      </c>
      <c r="H9" s="11" t="n">
        <f aca="false">IFERROR(D9/C9,0)</f>
        <v>0.468292682926829</v>
      </c>
      <c r="I9" s="11" t="n">
        <f aca="false">IFERROR(E9/D9,0)</f>
        <v>0.354166666666667</v>
      </c>
      <c r="J9" s="11" t="n">
        <f aca="false">IFERROR(F9/E9,0)</f>
        <v>0.794117647058824</v>
      </c>
      <c r="K9" s="11" t="n">
        <f aca="false">IFERROR(F9/B9,0)</f>
        <v>0.0635294117647059</v>
      </c>
    </row>
    <row r="10" customFormat="false" ht="15" hidden="false" customHeight="false" outlineLevel="0" collapsed="false">
      <c r="A10" s="4" t="s">
        <v>22</v>
      </c>
      <c r="B10" s="4" t="n">
        <f aca="false">SUMIFS(Raw_Recruitment!D:D,Raw_Recruitment!C:C,A10,Raw_Recruitment!A:A,$A$2)</f>
        <v>405</v>
      </c>
      <c r="C10" s="4" t="n">
        <f aca="false">SUMIFS(Raw_Recruitment!E:E,Raw_Recruitment!C:C,A10,Raw_Recruitment!A:A,$A$2)</f>
        <v>220</v>
      </c>
      <c r="D10" s="4" t="n">
        <f aca="false">SUMIFS(Raw_Recruitment!F:F,Raw_Recruitment!C:C,A10,Raw_Recruitment!A:A,$A$2)</f>
        <v>109</v>
      </c>
      <c r="E10" s="4" t="n">
        <f aca="false">SUMIFS(Raw_Recruitment!G:G,Raw_Recruitment!C:C,A10,Raw_Recruitment!A:A,$A$2)</f>
        <v>50</v>
      </c>
      <c r="F10" s="4" t="n">
        <f aca="false">SUMIFS(Raw_Recruitment!H:H,Raw_Recruitment!C:C,A10,Raw_Recruitment!A:A,$A$2)</f>
        <v>42</v>
      </c>
      <c r="G10" s="11" t="n">
        <f aca="false">IFERROR(C10/B10,0)</f>
        <v>0.54320987654321</v>
      </c>
      <c r="H10" s="11" t="n">
        <f aca="false">IFERROR(D10/C10,0)</f>
        <v>0.495454545454546</v>
      </c>
      <c r="I10" s="11" t="n">
        <f aca="false">IFERROR(E10/D10,0)</f>
        <v>0.458715596330275</v>
      </c>
      <c r="J10" s="11" t="n">
        <f aca="false">IFERROR(F10/E10,0)</f>
        <v>0.84</v>
      </c>
      <c r="K10" s="11" t="n">
        <f aca="false">IFERROR(F10/B10,0)</f>
        <v>0.103703703703704</v>
      </c>
    </row>
    <row r="11" customFormat="false" ht="15" hidden="false" customHeight="false" outlineLevel="0" collapsed="false">
      <c r="A11" s="4" t="s">
        <v>23</v>
      </c>
      <c r="B11" s="4" t="n">
        <f aca="false">SUMIFS(Raw_Recruitment!D:D,Raw_Recruitment!C:C,A11,Raw_Recruitment!A:A,$A$2)</f>
        <v>331</v>
      </c>
      <c r="C11" s="4" t="n">
        <f aca="false">SUMIFS(Raw_Recruitment!E:E,Raw_Recruitment!C:C,A11,Raw_Recruitment!A:A,$A$2)</f>
        <v>148</v>
      </c>
      <c r="D11" s="4" t="n">
        <f aca="false">SUMIFS(Raw_Recruitment!F:F,Raw_Recruitment!C:C,A11,Raw_Recruitment!A:A,$A$2)</f>
        <v>68</v>
      </c>
      <c r="E11" s="4" t="n">
        <f aca="false">SUMIFS(Raw_Recruitment!G:G,Raw_Recruitment!C:C,A11,Raw_Recruitment!A:A,$A$2)</f>
        <v>26</v>
      </c>
      <c r="F11" s="4" t="n">
        <f aca="false">SUMIFS(Raw_Recruitment!H:H,Raw_Recruitment!C:C,A11,Raw_Recruitment!A:A,$A$2)</f>
        <v>22</v>
      </c>
      <c r="G11" s="11" t="n">
        <f aca="false">IFERROR(C11/B11,0)</f>
        <v>0.447129909365559</v>
      </c>
      <c r="H11" s="11" t="n">
        <f aca="false">IFERROR(D11/C11,0)</f>
        <v>0.45945945945946</v>
      </c>
      <c r="I11" s="11" t="n">
        <f aca="false">IFERROR(E11/D11,0)</f>
        <v>0.382352941176471</v>
      </c>
      <c r="J11" s="11" t="n">
        <f aca="false">IFERROR(F11/E11,0)</f>
        <v>0.846153846153846</v>
      </c>
      <c r="K11" s="11" t="n">
        <f aca="false">IFERROR(F11/B11,0)</f>
        <v>0.0664652567975831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26"/>
  </cols>
  <sheetData>
    <row r="1" customFormat="false" ht="17.35" hidden="false" customHeight="false" outlineLevel="0" collapsed="false">
      <c r="A1" s="1" t="s">
        <v>44</v>
      </c>
    </row>
    <row r="2" customFormat="false" ht="15" hidden="false" customHeight="false" outlineLevel="0" collapsed="false">
      <c r="A2" s="2" t="s">
        <v>45</v>
      </c>
    </row>
    <row r="4" customFormat="false" ht="15" hidden="false" customHeight="false" outlineLevel="0" collapsed="false">
      <c r="A4" s="7" t="s">
        <v>46</v>
      </c>
    </row>
    <row r="5" customFormat="false" ht="15" hidden="false" customHeight="false" outlineLevel="0" collapsed="false">
      <c r="A5" s="12" t="s">
        <v>47</v>
      </c>
      <c r="B5" s="13" t="n">
        <v>6</v>
      </c>
    </row>
    <row r="6" customFormat="false" ht="15" hidden="false" customHeight="false" outlineLevel="0" collapsed="false">
      <c r="A6" s="12" t="s">
        <v>48</v>
      </c>
      <c r="B6" s="14" t="n">
        <v>0.012</v>
      </c>
    </row>
    <row r="7" customFormat="false" ht="15" hidden="false" customHeight="false" outlineLevel="0" collapsed="false">
      <c r="A7" s="12" t="s">
        <v>49</v>
      </c>
      <c r="B7" s="13" t="n">
        <v>8</v>
      </c>
    </row>
    <row r="8" customFormat="false" ht="15" hidden="false" customHeight="false" outlineLevel="0" collapsed="false">
      <c r="A8" s="12" t="s">
        <v>50</v>
      </c>
      <c r="B8" s="15" t="n">
        <f aca="false">AVERAGE(Recruitment_Funnel_Report!K5:K11)</f>
        <v>0.0786627723701238</v>
      </c>
    </row>
    <row r="10" customFormat="false" ht="15" hidden="false" customHeight="false" outlineLevel="0" collapsed="false">
      <c r="A10" s="7" t="s">
        <v>51</v>
      </c>
    </row>
    <row r="11" customFormat="false" ht="26.85" hidden="false" customHeight="false" outlineLevel="0" collapsed="false">
      <c r="A11" s="3" t="s">
        <v>1</v>
      </c>
      <c r="B11" s="3" t="s">
        <v>3</v>
      </c>
      <c r="C11" s="3" t="s">
        <v>52</v>
      </c>
      <c r="D11" s="3" t="s">
        <v>53</v>
      </c>
      <c r="E11" s="3" t="s">
        <v>54</v>
      </c>
      <c r="F11" s="3" t="s">
        <v>55</v>
      </c>
      <c r="G11" s="3" t="s">
        <v>56</v>
      </c>
    </row>
    <row r="12" customFormat="false" ht="15" hidden="false" customHeight="false" outlineLevel="0" collapsed="false">
      <c r="A12" s="4" t="str">
        <f aca="false">Daily_Headcount_Report!A5</f>
        <v>Engineering</v>
      </c>
      <c r="B12" s="4" t="n">
        <f aca="false">Daily_Headcount_Report!C5</f>
        <v>744</v>
      </c>
      <c r="C12" s="4" t="n">
        <f aca="false">Daily_Headcount_Report!B5</f>
        <v>820</v>
      </c>
      <c r="D12" s="4" t="n">
        <f aca="false">MAX(C12-B12,0)</f>
        <v>76</v>
      </c>
      <c r="E12" s="4" t="n">
        <f aca="false">ROUND(B12*$B$6*$B$5,0)</f>
        <v>54</v>
      </c>
      <c r="F12" s="4" t="n">
        <f aca="false">D12+E12</f>
        <v>130</v>
      </c>
      <c r="G12" s="4" t="n">
        <f aca="false">IFERROR(F12/Recruitment_Funnel_Report!K5,F12/0.08)</f>
        <v>1313</v>
      </c>
    </row>
    <row r="13" customFormat="false" ht="15" hidden="false" customHeight="false" outlineLevel="0" collapsed="false">
      <c r="A13" s="4" t="str">
        <f aca="false">Daily_Headcount_Report!A6</f>
        <v>Sales</v>
      </c>
      <c r="B13" s="4" t="n">
        <f aca="false">Daily_Headcount_Report!C6</f>
        <v>329</v>
      </c>
      <c r="C13" s="4" t="n">
        <f aca="false">Daily_Headcount_Report!B6</f>
        <v>400</v>
      </c>
      <c r="D13" s="4" t="n">
        <f aca="false">MAX(C13-B13,0)</f>
        <v>71</v>
      </c>
      <c r="E13" s="4" t="n">
        <f aca="false">ROUND(B13*$B$6*$B$5,0)</f>
        <v>24</v>
      </c>
      <c r="F13" s="4" t="n">
        <f aca="false">D13+E13</f>
        <v>95</v>
      </c>
      <c r="G13" s="4" t="n">
        <f aca="false">IFERROR(F13/Recruitment_Funnel_Report!K6,F13/0.08)</f>
        <v>1305.48387096774</v>
      </c>
    </row>
    <row r="14" customFormat="false" ht="15" hidden="false" customHeight="false" outlineLevel="0" collapsed="false">
      <c r="A14" s="4" t="str">
        <f aca="false">Daily_Headcount_Report!A7</f>
        <v>Human Capital</v>
      </c>
      <c r="B14" s="4" t="n">
        <f aca="false">Daily_Headcount_Report!C7</f>
        <v>108</v>
      </c>
      <c r="C14" s="4" t="n">
        <f aca="false">Daily_Headcount_Report!B7</f>
        <v>115</v>
      </c>
      <c r="D14" s="4" t="n">
        <f aca="false">MAX(C14-B14,0)</f>
        <v>7</v>
      </c>
      <c r="E14" s="4" t="n">
        <f aca="false">ROUND(B14*$B$6*$B$5,0)</f>
        <v>8</v>
      </c>
      <c r="F14" s="4" t="n">
        <f aca="false">D14+E14</f>
        <v>15</v>
      </c>
      <c r="G14" s="4" t="n">
        <f aca="false">IFERROR(F14/Recruitment_Funnel_Report!K7,F14/0.08)</f>
        <v>180.555555555556</v>
      </c>
    </row>
    <row r="15" customFormat="false" ht="15" hidden="false" customHeight="false" outlineLevel="0" collapsed="false">
      <c r="A15" s="4" t="str">
        <f aca="false">Daily_Headcount_Report!A8</f>
        <v>Finance</v>
      </c>
      <c r="B15" s="4" t="n">
        <f aca="false">Daily_Headcount_Report!C8</f>
        <v>206</v>
      </c>
      <c r="C15" s="4" t="n">
        <f aca="false">Daily_Headcount_Report!B8</f>
        <v>220</v>
      </c>
      <c r="D15" s="4" t="n">
        <f aca="false">MAX(C15-B15,0)</f>
        <v>14</v>
      </c>
      <c r="E15" s="4" t="n">
        <f aca="false">ROUND(B15*$B$6*$B$5,0)</f>
        <v>15</v>
      </c>
      <c r="F15" s="4" t="n">
        <f aca="false">D15+E15</f>
        <v>29</v>
      </c>
      <c r="G15" s="4" t="n">
        <f aca="false">IFERROR(F15/Recruitment_Funnel_Report!K8,F15/0.08)</f>
        <v>467.107142857143</v>
      </c>
    </row>
    <row r="16" customFormat="false" ht="15" hidden="false" customHeight="false" outlineLevel="0" collapsed="false">
      <c r="A16" s="4" t="str">
        <f aca="false">Daily_Headcount_Report!A9</f>
        <v>Operations</v>
      </c>
      <c r="B16" s="4" t="n">
        <f aca="false">Daily_Headcount_Report!C9</f>
        <v>342</v>
      </c>
      <c r="C16" s="4" t="n">
        <f aca="false">Daily_Headcount_Report!B9</f>
        <v>400</v>
      </c>
      <c r="D16" s="4" t="n">
        <f aca="false">MAX(C16-B16,0)</f>
        <v>58</v>
      </c>
      <c r="E16" s="4" t="n">
        <f aca="false">ROUND(B16*$B$6*$B$5,0)</f>
        <v>25</v>
      </c>
      <c r="F16" s="4" t="n">
        <f aca="false">D16+E16</f>
        <v>83</v>
      </c>
      <c r="G16" s="4" t="n">
        <f aca="false">IFERROR(F16/Recruitment_Funnel_Report!K9,F16/0.08)</f>
        <v>1306.48148148148</v>
      </c>
    </row>
    <row r="17" customFormat="false" ht="15" hidden="false" customHeight="false" outlineLevel="0" collapsed="false">
      <c r="A17" s="4" t="str">
        <f aca="false">Daily_Headcount_Report!A10</f>
        <v>Marketing</v>
      </c>
      <c r="B17" s="4" t="n">
        <f aca="false">Daily_Headcount_Report!C10</f>
        <v>186</v>
      </c>
      <c r="C17" s="4" t="n">
        <f aca="false">Daily_Headcount_Report!B10</f>
        <v>195</v>
      </c>
      <c r="D17" s="4" t="n">
        <f aca="false">MAX(C17-B17,0)</f>
        <v>9</v>
      </c>
      <c r="E17" s="4" t="n">
        <f aca="false">ROUND(B17*$B$6*$B$5,0)</f>
        <v>13</v>
      </c>
      <c r="F17" s="4" t="n">
        <f aca="false">D17+E17</f>
        <v>22</v>
      </c>
      <c r="G17" s="4" t="n">
        <f aca="false">IFERROR(F17/Recruitment_Funnel_Report!K10,F17/0.08)</f>
        <v>212.142857142857</v>
      </c>
    </row>
    <row r="18" customFormat="false" ht="15" hidden="false" customHeight="false" outlineLevel="0" collapsed="false">
      <c r="A18" s="4" t="str">
        <f aca="false">Daily_Headcount_Report!A11</f>
        <v>Data &amp; Analytics</v>
      </c>
      <c r="B18" s="4" t="n">
        <f aca="false">Daily_Headcount_Report!C11</f>
        <v>260</v>
      </c>
      <c r="C18" s="4" t="n">
        <f aca="false">Daily_Headcount_Report!B11</f>
        <v>300</v>
      </c>
      <c r="D18" s="4" t="n">
        <f aca="false">MAX(C18-B18,0)</f>
        <v>40</v>
      </c>
      <c r="E18" s="4" t="n">
        <f aca="false">ROUND(B18*$B$6*$B$5,0)</f>
        <v>19</v>
      </c>
      <c r="F18" s="4" t="n">
        <f aca="false">D18+E18</f>
        <v>59</v>
      </c>
      <c r="G18" s="4" t="n">
        <f aca="false">IFERROR(F18/Recruitment_Funnel_Report!K11,F18/0.08)</f>
        <v>887.681818181818</v>
      </c>
    </row>
    <row r="19" customFormat="false" ht="15" hidden="false" customHeight="false" outlineLevel="0" collapsed="false">
      <c r="A19" s="7" t="s">
        <v>8</v>
      </c>
      <c r="B19" s="7" t="n">
        <f aca="false">SUM(B12:B18)</f>
        <v>2175</v>
      </c>
      <c r="C19" s="7" t="n">
        <f aca="false">SUM(C12:C18)</f>
        <v>2450</v>
      </c>
      <c r="D19" s="7" t="n">
        <f aca="false">SUM(D12:D18)</f>
        <v>275</v>
      </c>
      <c r="E19" s="7" t="n">
        <f aca="false">SUM(E12:E18)</f>
        <v>158</v>
      </c>
      <c r="F19" s="7" t="n">
        <f aca="false">SUM(F12:F18)</f>
        <v>433</v>
      </c>
      <c r="G19" s="7" t="n">
        <f aca="false">SUM(G12:G18)</f>
        <v>5672.4527261866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2026-07-29T15:50:04Z</dcterms:created>
  <dc:creator>openpyxl</dc:creator>
  <dc:description/>
  <dc:language>en-US</dc:language>
  <cp:lastModifiedBy/>
  <dcterms:modified xsi:type="dcterms:W3CDTF">2026-07-29T15:50:04Z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